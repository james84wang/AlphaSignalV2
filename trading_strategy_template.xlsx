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rategy_Config" sheetId="2" state="visible" r:id="rId4"/>
    <sheet name="Regime_Filter" sheetId="3" state="visible" r:id="rId5"/>
    <sheet name="Candlestick" sheetId="4" state="visible" r:id="rId6"/>
    <sheet name="Pivots_P3_P5" sheetId="5" state="visible" r:id="rId7"/>
    <sheet name="Volume" sheetId="6" state="visible" r:id="rId8"/>
    <sheet name="EMA" sheetId="7" state="visible" r:id="rId9"/>
    <sheet name="Support_Resistance" sheetId="8" state="visible" r:id="rId10"/>
    <sheet name="MACD" sheetId="9" state="visible" r:id="rId11"/>
    <sheet name="RSI" sheetId="10" state="visible" r:id="rId12"/>
    <sheet name="Example_Calc" sheetId="11" state="visible" r:id="rId13"/>
    <sheet name="Open_Question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<sst xmlns="http://schemas.openxmlformats.org/spreadsheetml/2006/main" count="378" uniqueCount="335">
  <si>
    <t xml:space="preserve">Reversal &amp; Trend-Following Trading Strategy — Template v0.1</t>
  </si>
  <si>
    <t xml:space="preserve">PURPOSE</t>
  </si>
  <si>
    <t xml:space="preserve">This workbook is the editable specification for James's stock-trading strategy.</t>
  </si>
  <si>
    <t xml:space="preserve">Edit the YELLOW cells. They feed every calculation downstream.</t>
  </si>
  <si>
    <t xml:space="preserve">Once finalized, hand this and the paired markdown spec to Claude Code to build the engine.</t>
  </si>
  <si>
    <t xml:space="preserve">CORE PRINCIPLE</t>
  </si>
  <si>
    <t xml:space="preserve">Identify reversal signals. Trade in the direction of confirmed momentum. Never trade against momentum.</t>
  </si>
  <si>
    <t xml:space="preserve">HOW IT WORKS</t>
  </si>
  <si>
    <t xml:space="preserve">1. Each component (candlestick, pivots, volume, EMA, S/R, MACD, RSI) outputs a sub-score from -100 to +100.</t>
  </si>
  <si>
    <t xml:space="preserve">2. Each component has a weight. All weights sum to 100.</t>
  </si>
  <si>
    <t xml:space="preserve">3. Composite score = sum of (sub-score × weight / 100). Range: -100 to +100.</t>
  </si>
  <si>
    <t xml:space="preserve">4. Before computing, a Regime Filter gates long or short signals (prevents counter-trend trades).</t>
  </si>
  <si>
    <t xml:space="preserve">5. Composite score maps to a signal:</t>
  </si>
  <si>
    <t xml:space="preserve">       Composite &gt; +85    : Strong Buy</t>
  </si>
  <si>
    <t xml:space="preserve">       +70 to +85         : Buy</t>
  </si>
  <si>
    <t xml:space="preserve">       -70 to +70         : Hold / No Action</t>
  </si>
  <si>
    <t xml:space="preserve">       -85 to -70         : Sell</t>
  </si>
  <si>
    <t xml:space="preserve">       Composite &lt; -85    : Strong Sell</t>
  </si>
  <si>
    <t xml:space="preserve">TABS IN THIS WORKBOOK</t>
  </si>
  <si>
    <t xml:space="preserve">  Strategy_Config   — Master weights and signal thresholds (EDIT HERE)</t>
  </si>
  <si>
    <t xml:space="preserve">  Regime_Filter     — Pre-score gate rules (prevents counter-trend trades)</t>
  </si>
  <si>
    <t xml:space="preserve">  Candlestick       — Candle pattern scores</t>
  </si>
  <si>
    <t xml:space="preserve">  Pivots_P3_P5      — 3-bar and 5-bar pivot scores</t>
  </si>
  <si>
    <t xml:space="preserve">  Volume            — Contextual volume scoring (direction-aware)</t>
  </si>
  <si>
    <t xml:space="preserve">  EMA               — EMA stacking &amp; cross-event scores</t>
  </si>
  <si>
    <t xml:space="preserve">  Support_Resistance— S/R bounce and break scores</t>
  </si>
  <si>
    <t xml:space="preserve">  MACD              — MACD micro-signals (sum then clip)</t>
  </si>
  <si>
    <t xml:space="preserve">  RSI               — RSI zone scores</t>
  </si>
  <si>
    <t xml:space="preserve">  Example_Calc      — Worked example showing composite score roll-up</t>
  </si>
  <si>
    <t xml:space="preserve">  Open_Questions    — Gaps Claude has flagged for James to resolve</t>
  </si>
  <si>
    <t xml:space="preserve">COLOUR LEGEND</t>
  </si>
  <si>
    <t xml:space="preserve">  Yellow background, blue font  = editable input</t>
  </si>
  <si>
    <t xml:space="preserve">  Green background              = bullish-side scoring</t>
  </si>
  <si>
    <t xml:space="preserve">  Red/Orange background         = bearish-side scoring</t>
  </si>
  <si>
    <t xml:space="preserve">  Grey background               = neutral / context</t>
  </si>
  <si>
    <t xml:space="preserve">DESIGN CHANGES vs ORIGINAL DRAFT (review these)</t>
  </si>
  <si>
    <t xml:space="preserve">1. Volume is now CONTEXTUAL — its sign depends on whether the candle is bullish or bearish.</t>
  </si>
  <si>
    <t xml:space="preserve">   Reasoning: 3x volume on a red candle is bearish, on a green candle is bullish. Volume alone has no direction.</t>
  </si>
  <si>
    <t xml:space="preserve">2. Divergence removed from RSI; kept in MACD only. Reasoning: avoids double-counting the same observation.</t>
  </si>
  <si>
    <t xml:space="preserve">3. Added explicit Regime Filter using EMA200 slope. Reasoning: the 'never trade against momentum' principle needs</t>
  </si>
  <si>
    <t xml:space="preserve">   an enforcement mechanism — otherwise EMA cross signals can fire counter-trend.</t>
  </si>
  <si>
    <t xml:space="preserve">4. EMA component combines stacking score and cross-event score (takes max-magnitude). Reasoning: avoids inflating</t>
  </si>
  <si>
    <t xml:space="preserve">   the score when the same trend is confirmed by both mechanisms simultaneously.</t>
  </si>
  <si>
    <t xml:space="preserve">5. Added Open_Questions tab for risk management, position sizing, universe — these are not yet defined in the framework</t>
  </si>
  <si>
    <t xml:space="preserve">   but must be resolved before live trading.</t>
  </si>
  <si>
    <t xml:space="preserve">COMPONENT WEIGHTS (must sum to 100)</t>
  </si>
  <si>
    <t xml:space="preserve">#</t>
  </si>
  <si>
    <t xml:space="preserve">Component</t>
  </si>
  <si>
    <t xml:space="preserve">Weight</t>
  </si>
  <si>
    <t xml:space="preserve">Notes</t>
  </si>
  <si>
    <t xml:space="preserve">Candlestick pattern</t>
  </si>
  <si>
    <t xml:space="preserve">Current-bar pattern</t>
  </si>
  <si>
    <t xml:space="preserve">P3 Pivot</t>
  </si>
  <si>
    <t xml:space="preserve">3-bar structure</t>
  </si>
  <si>
    <t xml:space="preserve">P5 Pivot</t>
  </si>
  <si>
    <t xml:space="preserve">5-bar structure (more reliable than P3)</t>
  </si>
  <si>
    <t xml:space="preserve">Volume (contextual)</t>
  </si>
  <si>
    <t xml:space="preserve">Conditional on price direction</t>
  </si>
  <si>
    <t xml:space="preserve">EMA system</t>
  </si>
  <si>
    <t xml:space="preserve">20/50/100/200 EMAs</t>
  </si>
  <si>
    <t xml:space="preserve">Support / Resistance</t>
  </si>
  <si>
    <t xml:space="preserve">Bounce vs break</t>
  </si>
  <si>
    <t xml:space="preserve">MACD</t>
  </si>
  <si>
    <t xml:space="preserve">Includes divergence</t>
  </si>
  <si>
    <t xml:space="preserve">RSI</t>
  </si>
  <si>
    <t xml:space="preserve">Excludes divergence (handled in MACD)</t>
  </si>
  <si>
    <t xml:space="preserve">TOTAL</t>
  </si>
  <si>
    <t xml:space="preserve">Must equal 100</t>
  </si>
  <si>
    <t xml:space="preserve">Validation:</t>
  </si>
  <si>
    <t xml:space="preserve">SIGNAL THRESHOLDS</t>
  </si>
  <si>
    <t xml:space="preserve">Signal</t>
  </si>
  <si>
    <t xml:space="preserve">Lower bound</t>
  </si>
  <si>
    <t xml:space="preserve">Upper bound</t>
  </si>
  <si>
    <t xml:space="preserve">Strong Buy</t>
  </si>
  <si>
    <t xml:space="preserve">High-conviction long entry</t>
  </si>
  <si>
    <t xml:space="preserve">Buy</t>
  </si>
  <si>
    <t xml:space="preserve">Standard long entry</t>
  </si>
  <si>
    <t xml:space="preserve">Hold</t>
  </si>
  <si>
    <t xml:space="preserve">No action</t>
  </si>
  <si>
    <t xml:space="preserve">Sell</t>
  </si>
  <si>
    <t xml:space="preserve">Standard short / exit long</t>
  </si>
  <si>
    <t xml:space="preserve">Strong Sell</t>
  </si>
  <si>
    <t xml:space="preserve">High-conviction short / exit long</t>
  </si>
  <si>
    <t xml:space="preserve">REGIME FILTER — Pre-score gate (enforces 'never trade against momentum')</t>
  </si>
  <si>
    <t xml:space="preserve">Before computing composite score, evaluate this gate. If a side fails, that side's score is clamped to 0. EMA200 slope = sign of (EMA200 today − EMA200 20 bars ago).</t>
  </si>
  <si>
    <t xml:space="preserve">Regime Condition</t>
  </si>
  <si>
    <t xml:space="preserve">Long allowed?</t>
  </si>
  <si>
    <t xml:space="preserve">Short allowed?</t>
  </si>
  <si>
    <t xml:space="preserve">Price &gt; EMA200 AND EMA200 slope ≥ 0</t>
  </si>
  <si>
    <t xml:space="preserve">Yes</t>
  </si>
  <si>
    <t xml:space="preserve">No</t>
  </si>
  <si>
    <t xml:space="preserve">Bull regime — long-only or reduced-weight shorts</t>
  </si>
  <si>
    <t xml:space="preserve">Price &lt; EMA200 AND EMA200 slope ≤ 0</t>
  </si>
  <si>
    <t xml:space="preserve">Bear regime — short-only or reduced-weight longs</t>
  </si>
  <si>
    <t xml:space="preserve">Mixed (price one side, slope the other) OR EMA200 flat</t>
  </si>
  <si>
    <t xml:space="preserve">Range / transition — both sides allowed</t>
  </si>
  <si>
    <t xml:space="preserve">CANDLESTICK PATTERN SCORING (weight: 12)</t>
  </si>
  <si>
    <t xml:space="preserve">Pattern</t>
  </si>
  <si>
    <t xml:space="preserve">Definition</t>
  </si>
  <si>
    <t xml:space="preserve">Sub-score (-100 to +100)</t>
  </si>
  <si>
    <t xml:space="preserve">Long Bullish Candle</t>
  </si>
  <si>
    <t xml:space="preserve">Body ≥ 70% of range; close &gt; open; large total range</t>
  </si>
  <si>
    <t xml:space="preserve">Strong bullish momentum bar</t>
  </si>
  <si>
    <t xml:space="preserve">Green Hammer</t>
  </si>
  <si>
    <t xml:space="preserve">Green body in upper 1/3; lower wick ≥ 2× body</t>
  </si>
  <si>
    <t xml:space="preserve">Classic bullish reversal</t>
  </si>
  <si>
    <t xml:space="preserve">Inverted Green Hammer</t>
  </si>
  <si>
    <t xml:space="preserve">Green body in lower 1/3; upper wick ≥ 2× body</t>
  </si>
  <si>
    <t xml:space="preserve">Moderate bullish reversal</t>
  </si>
  <si>
    <t xml:space="preserve">Bullish Spinning Top</t>
  </si>
  <si>
    <t xml:space="preserve">Small green body centered; wicks both sides</t>
  </si>
  <si>
    <t xml:space="preserve">Mild indecision, slight bull bias</t>
  </si>
  <si>
    <t xml:space="preserve">Bullish Doji</t>
  </si>
  <si>
    <t xml:space="preserve">Open ≈ close (within 5% of range); at recent low</t>
  </si>
  <si>
    <t xml:space="preserve">Indecision at low — possible reversal</t>
  </si>
  <si>
    <t xml:space="preserve">No clear pattern</t>
  </si>
  <si>
    <t xml:space="preserve">—</t>
  </si>
  <si>
    <t xml:space="preserve">No bar-level signal</t>
  </si>
  <si>
    <t xml:space="preserve">Bearish Doji</t>
  </si>
  <si>
    <t xml:space="preserve">Open ≈ close; at recent high</t>
  </si>
  <si>
    <t xml:space="preserve">Indecision at high — possible reversal</t>
  </si>
  <si>
    <t xml:space="preserve">Bearish Spinning Top</t>
  </si>
  <si>
    <t xml:space="preserve">Small red body centered; wicks both sides</t>
  </si>
  <si>
    <t xml:space="preserve">Mild indecision, slight bear bias</t>
  </si>
  <si>
    <t xml:space="preserve">Red Hammer (Hanging Man)</t>
  </si>
  <si>
    <t xml:space="preserve">Red body in upper 1/3; lower wick ≥ 2× body</t>
  </si>
  <si>
    <t xml:space="preserve">Hanging man pattern</t>
  </si>
  <si>
    <t xml:space="preserve">Inverted Red Hammer (Shooting Star)</t>
  </si>
  <si>
    <t xml:space="preserve">Red body in lower 1/3; upper wick ≥ 2× body</t>
  </si>
  <si>
    <t xml:space="preserve">Classic bearish reversal</t>
  </si>
  <si>
    <t xml:space="preserve">Long Bearish Candle</t>
  </si>
  <si>
    <t xml:space="preserve">Body ≥ 70% of range; close &lt; open; large range</t>
  </si>
  <si>
    <t xml:space="preserve">Strong bearish momentum bar</t>
  </si>
  <si>
    <t xml:space="preserve">CONTEXT MULTIPLIER (optional)</t>
  </si>
  <si>
    <t xml:space="preserve">Condition</t>
  </si>
  <si>
    <t xml:space="preserve">Multiplier</t>
  </si>
  <si>
    <t xml:space="preserve">Cap</t>
  </si>
  <si>
    <t xml:space="preserve">Pattern occurs AT P5 pivot support/resistance level</t>
  </si>
  <si>
    <t xml:space="preserve">±100</t>
  </si>
  <si>
    <t xml:space="preserve">Strengthens reversal patterns at key levels</t>
  </si>
  <si>
    <t xml:space="preserve">P3 PIVOT (weight: 8) — 3-bar window including current</t>
  </si>
  <si>
    <t xml:space="preserve">P3 Pattern</t>
  </si>
  <si>
    <t xml:space="preserve">Sub-score</t>
  </si>
  <si>
    <t xml:space="preserve">Bullish reversal at support</t>
  </si>
  <si>
    <t xml:space="preserve">Clear 3-bar low; current bar closes above prior 2; lower wicks on bars 1–2</t>
  </si>
  <si>
    <t xml:space="preserve">Strong reversal signal</t>
  </si>
  <si>
    <t xml:space="preserve">Bullish breakout above resistance</t>
  </si>
  <si>
    <t xml:space="preserve">Current bar closes above high of prior 2 AND above known resistance</t>
  </si>
  <si>
    <t xml:space="preserve">Trend continuation / breakout</t>
  </si>
  <si>
    <t xml:space="preserve">Continuation up</t>
  </si>
  <si>
    <t xml:space="preserve">All 3 bars closing progressively higher</t>
  </si>
  <si>
    <t xml:space="preserve">Trend in motion</t>
  </si>
  <si>
    <t xml:space="preserve">No structural signal</t>
  </si>
  <si>
    <t xml:space="preserve">Continuation down</t>
  </si>
  <si>
    <t xml:space="preserve">All 3 bars closing progressively lower</t>
  </si>
  <si>
    <t xml:space="preserve">Bearish trend in motion</t>
  </si>
  <si>
    <t xml:space="preserve">Bearish breakdown below support</t>
  </si>
  <si>
    <t xml:space="preserve">Current bar closes below low of prior 2 AND below support</t>
  </si>
  <si>
    <t xml:space="preserve">Trend continuation / breakdown</t>
  </si>
  <si>
    <t xml:space="preserve">Bearish reversal at resistance</t>
  </si>
  <si>
    <t xml:space="preserve">Clear 3-bar high; current closes below prior 2; upper wicks on bars 1–2</t>
  </si>
  <si>
    <t xml:space="preserve">P5 PIVOT (weight: 12) — 5-bar window including current</t>
  </si>
  <si>
    <t xml:space="preserve">P5 Pattern</t>
  </si>
  <si>
    <t xml:space="preserve">Major bullish reversal</t>
  </si>
  <si>
    <t xml:space="preserve">Clear 5-bar low; current bar closes higher; volume confirmation</t>
  </si>
  <si>
    <t xml:space="preserve">High-conviction reversal</t>
  </si>
  <si>
    <t xml:space="preserve">Bullish trend confirmation</t>
  </si>
  <si>
    <t xml:space="preserve">5-bar window shows Higher Highs + Higher Lows</t>
  </si>
  <si>
    <t xml:space="preserve">Healthy uptrend</t>
  </si>
  <si>
    <t xml:space="preserve">Range-bound</t>
  </si>
  <si>
    <t xml:space="preserve">No clear directional structure across 5 bars</t>
  </si>
  <si>
    <t xml:space="preserve">No actionable signal</t>
  </si>
  <si>
    <t xml:space="preserve">Bearish trend confirmation</t>
  </si>
  <si>
    <t xml:space="preserve">5-bar window shows Lower Highs + Lower Lows</t>
  </si>
  <si>
    <t xml:space="preserve">Healthy downtrend</t>
  </si>
  <si>
    <t xml:space="preserve">Major bearish reversal</t>
  </si>
  <si>
    <t xml:space="preserve">Clear 5-bar high; current bar closes lower; volume confirmation</t>
  </si>
  <si>
    <t xml:space="preserve">VOLUME — CONTEXTUAL SCORING (weight: 10)</t>
  </si>
  <si>
    <t xml:space="preserve">Volume itself has no direction. Score depends on the price-direction of the current candle. Relative Volume (RV) = current bar volume / 30-day average volume. If candle is bullish: positive volume → positive score. If candle is bearish: positive volume → negative score. If candle is doji/spinning top: sub-score = 0 regardless of RV.</t>
  </si>
  <si>
    <t xml:space="preserve">RV bucket</t>
  </si>
  <si>
    <t xml:space="preserve">Sub-score if BULLISH candle</t>
  </si>
  <si>
    <t xml:space="preserve">Sub-score if BEARISH candle</t>
  </si>
  <si>
    <t xml:space="preserve">Conviction interpretation</t>
  </si>
  <si>
    <t xml:space="preserve">&gt; 5.0×</t>
  </si>
  <si>
    <t xml:space="preserve">Extreme conviction</t>
  </si>
  <si>
    <t xml:space="preserve">Climactic — may also be exhaustion</t>
  </si>
  <si>
    <t xml:space="preserve">3.0× – 5.0×</t>
  </si>
  <si>
    <t xml:space="preserve">Very strong</t>
  </si>
  <si>
    <t xml:space="preserve">2.0× – 3.0×</t>
  </si>
  <si>
    <t xml:space="preserve">Strong</t>
  </si>
  <si>
    <t xml:space="preserve">1.5× – 2.0×</t>
  </si>
  <si>
    <t xml:space="preserve">Above average</t>
  </si>
  <si>
    <t xml:space="preserve">1.0× – 1.5×</t>
  </si>
  <si>
    <t xml:space="preserve">Slightly above avg</t>
  </si>
  <si>
    <t xml:space="preserve">0.8× – 1.0×</t>
  </si>
  <si>
    <t xml:space="preserve">Normal — no signal</t>
  </si>
  <si>
    <t xml:space="preserve">0.5× – 0.8×</t>
  </si>
  <si>
    <t xml:space="preserve">Weak conviction</t>
  </si>
  <si>
    <t xml:space="preserve">Move may not hold</t>
  </si>
  <si>
    <t xml:space="preserve">0.3× – 0.5×</t>
  </si>
  <si>
    <t xml:space="preserve">Very weak</t>
  </si>
  <si>
    <t xml:space="preserve">0.2× – 0.3×</t>
  </si>
  <si>
    <t xml:space="preserve">Suspicious</t>
  </si>
  <si>
    <t xml:space="preserve">&lt; 0.2×</t>
  </si>
  <si>
    <t xml:space="preserve">No participation</t>
  </si>
  <si>
    <t xml:space="preserve">Move likely to fail</t>
  </si>
  <si>
    <t xml:space="preserve">EMA SYSTEM (weight: 15) — EMAs: 20, 50, 100, 200</t>
  </si>
  <si>
    <t xml:space="preserve">Two contributing signals: A) EMA stacking (position-based), B) Cross event (only on the cross bar). Final EMA sub-score = MAX(|stacking|, |cross|) preserving sign. This avoids double-counting.</t>
  </si>
  <si>
    <t xml:space="preserve">A. EMA Stacking</t>
  </si>
  <si>
    <t xml:space="preserve">Price &gt; EMA20 &gt; EMA50 &gt; EMA100 &gt; EMA200 (full bull stack)</t>
  </si>
  <si>
    <t xml:space="preserve">Price above 3 of 4 EMAs</t>
  </si>
  <si>
    <t xml:space="preserve">Price above 2 of 4 EMAs (mixed)</t>
  </si>
  <si>
    <t xml:space="preserve">Price below 3 of 4 EMAs</t>
  </si>
  <si>
    <t xml:space="preserve">Price &lt; EMA20 &lt; EMA50 &lt; EMA100 &lt; EMA200 (full bear stack)</t>
  </si>
  <si>
    <t xml:space="preserve">B. Cross Event (fires only on cross bar)</t>
  </si>
  <si>
    <t xml:space="preserve">Price crosses ABOVE EMA200</t>
  </si>
  <si>
    <t xml:space="preserve">Price crosses ABOVE EMA100</t>
  </si>
  <si>
    <t xml:space="preserve">Price crosses ABOVE EMA50</t>
  </si>
  <si>
    <t xml:space="preserve">Price crosses ABOVE EMA20</t>
  </si>
  <si>
    <t xml:space="preserve">Price crosses BELOW EMA20</t>
  </si>
  <si>
    <t xml:space="preserve">Price crosses BELOW EMA50</t>
  </si>
  <si>
    <t xml:space="preserve">Price crosses BELOW EMA100</t>
  </si>
  <si>
    <t xml:space="preserve">Price crosses BELOW EMA200</t>
  </si>
  <si>
    <t xml:space="preserve">SUPPORT / RESISTANCE (weight: 15)</t>
  </si>
  <si>
    <t xml:space="preserve">Default S/R identification: swing highs/lows from P5 pivot windows, clustered within 1% bands. Most recent unbroken cluster below price = support; above = resistance.</t>
  </si>
  <si>
    <t xml:space="preserve">Event</t>
  </si>
  <si>
    <t xml:space="preserve">Strong bounce off support</t>
  </si>
  <si>
    <t xml:space="preserve">Close ≥ midpoint of bar range; range &gt; avg range</t>
  </si>
  <si>
    <t xml:space="preserve">High-conviction long signal</t>
  </si>
  <si>
    <t xml:space="preserve">Breakout above resistance</t>
  </si>
  <si>
    <t xml:space="preserve">Close above resistance with volume ≥ 1.5× avg</t>
  </si>
  <si>
    <t xml:space="preserve">Trend continuation/breakout</t>
  </si>
  <si>
    <t xml:space="preserve">Approach support (no bounce yet)</t>
  </si>
  <si>
    <t xml:space="preserve">Bar touches support, no clear reaction</t>
  </si>
  <si>
    <t xml:space="preserve">Watch for confirmation</t>
  </si>
  <si>
    <t xml:space="preserve">No interaction with key levels</t>
  </si>
  <si>
    <t xml:space="preserve">Price away from S/R</t>
  </si>
  <si>
    <t xml:space="preserve">No level-based signal</t>
  </si>
  <si>
    <t xml:space="preserve">Approach resistance (no rejection yet)</t>
  </si>
  <si>
    <t xml:space="preserve">Bar touches resistance, no clear reaction</t>
  </si>
  <si>
    <t xml:space="preserve">Strong rejection off resistance</t>
  </si>
  <si>
    <t xml:space="preserve">Close ≤ midpoint of bar range; range &gt; avg</t>
  </si>
  <si>
    <t xml:space="preserve">High-conviction short signal</t>
  </si>
  <si>
    <t xml:space="preserve">Breakdown below support</t>
  </si>
  <si>
    <t xml:space="preserve">Close below support with volume ≥ 1.5× avg</t>
  </si>
  <si>
    <t xml:space="preserve">Trend continuation/breakdown</t>
  </si>
  <si>
    <t xml:space="preserve">MACD (weight: 18) — Standard 12/26/9</t>
  </si>
  <si>
    <t xml:space="preserve">Sum all triggered micro-signals on the current bar, then clip to [-100, +100]. Divergence is scored HERE (removed from RSI to avoid double-counting).</t>
  </si>
  <si>
    <t xml:space="preserve">Micro-signal</t>
  </si>
  <si>
    <t xml:space="preserve">Contribution</t>
  </si>
  <si>
    <t xml:space="preserve">Golden cross (MACD line crosses signal up) on current bar</t>
  </si>
  <si>
    <t xml:space="preserve">Bullish trigger</t>
  </si>
  <si>
    <t xml:space="preserve">MACD line above zero</t>
  </si>
  <si>
    <t xml:space="preserve">Bullish bias</t>
  </si>
  <si>
    <t xml:space="preserve">Histogram: green and expanding (current &gt; prior)</t>
  </si>
  <si>
    <t xml:space="preserve">Strengthening bull momentum</t>
  </si>
  <si>
    <t xml:space="preserve">Histogram: green and contracting</t>
  </si>
  <si>
    <t xml:space="preserve">Weakening bull momentum</t>
  </si>
  <si>
    <t xml:space="preserve">Bullish divergence (price LL, MACD HL)</t>
  </si>
  <si>
    <t xml:space="preserve">Reversal warning (bullish)</t>
  </si>
  <si>
    <t xml:space="preserve">Bearish divergence (price HH, MACD LH)</t>
  </si>
  <si>
    <t xml:space="preserve">Reversal warning (bearish)</t>
  </si>
  <si>
    <t xml:space="preserve">Histogram: red and contracting</t>
  </si>
  <si>
    <t xml:space="preserve">Weakening bear momentum</t>
  </si>
  <si>
    <t xml:space="preserve">Histogram: red and expanding (more negative)</t>
  </si>
  <si>
    <t xml:space="preserve">Strengthening bear momentum</t>
  </si>
  <si>
    <t xml:space="preserve">MACD line below zero</t>
  </si>
  <si>
    <t xml:space="preserve">Bearish bias</t>
  </si>
  <si>
    <t xml:space="preserve">Death cross (MACD line crosses signal down) on current bar</t>
  </si>
  <si>
    <t xml:space="preserve">Bearish trigger</t>
  </si>
  <si>
    <t xml:space="preserve">FINAL MACD SUB-SCORE = CLIP(sum of triggered signals, -100, +100)</t>
  </si>
  <si>
    <t xml:space="preserve">RSI (weight: 10) — Default RSI(14)</t>
  </si>
  <si>
    <t xml:space="preserve">Single sub-score per bar based on RSI zone and direction. Divergence handled in MACD — do not score here.</t>
  </si>
  <si>
    <t xml:space="preserve">RSI crosses UP through 30 (exits oversold)</t>
  </si>
  <si>
    <t xml:space="preserve">Strongest bullish trigger</t>
  </si>
  <si>
    <t xml:space="preserve">RSI &lt; 30 and rising</t>
  </si>
  <si>
    <t xml:space="preserve">Oversold reversal in progress</t>
  </si>
  <si>
    <t xml:space="preserve">RSI 30–50 and rising</t>
  </si>
  <si>
    <t xml:space="preserve">Recovery</t>
  </si>
  <si>
    <t xml:space="preserve">RSI 50–70 and rising</t>
  </si>
  <si>
    <t xml:space="preserve">Healthy bullish momentum</t>
  </si>
  <si>
    <t xml:space="preserve">RSI &gt; 70 and rising</t>
  </si>
  <si>
    <t xml:space="preserve">Strong but extended</t>
  </si>
  <si>
    <t xml:space="preserve">RSI &lt; 30 and falling</t>
  </si>
  <si>
    <t xml:space="preserve">Oversold deepening</t>
  </si>
  <si>
    <t xml:space="preserve">RSI 30–50 and falling</t>
  </si>
  <si>
    <t xml:space="preserve">Weakening</t>
  </si>
  <si>
    <t xml:space="preserve">RSI 50–70 and falling</t>
  </si>
  <si>
    <t xml:space="preserve">Bull momentum fading</t>
  </si>
  <si>
    <t xml:space="preserve">RSI &gt; 70 and falling</t>
  </si>
  <si>
    <t xml:space="preserve">Overbought rolling over</t>
  </si>
  <si>
    <t xml:space="preserve">RSI crosses DOWN through 70 (exits overbought)</t>
  </si>
  <si>
    <t xml:space="preserve">Strongest bearish trigger</t>
  </si>
  <si>
    <t xml:space="preserve">WORKED EXAMPLE — Composite Score Roll-up</t>
  </si>
  <si>
    <t xml:space="preserve">Edit the YELLOW sub-scores to see how the composite score changes. Weights are linked to Strategy_Config — edit there to change weights.</t>
  </si>
  <si>
    <t xml:space="preserve">Weighted (=B*C/100)</t>
  </si>
  <si>
    <t xml:space="preserve">Green hammer at support</t>
  </si>
  <si>
    <t xml:space="preserve">2.5× avg on bullish candle</t>
  </si>
  <si>
    <t xml:space="preserve">Crossed above EMA20</t>
  </si>
  <si>
    <t xml:space="preserve">Bounced off support</t>
  </si>
  <si>
    <t xml:space="preserve">Golden cross + above zero + expanding green</t>
  </si>
  <si>
    <t xml:space="preserve">RSI &lt;30 and rising</t>
  </si>
  <si>
    <t xml:space="preserve">COMPOSITE SCORE</t>
  </si>
  <si>
    <t xml:space="preserve">(weight check)</t>
  </si>
  <si>
    <t xml:space="preserve">SIGNAL</t>
  </si>
  <si>
    <t xml:space="preserve">OPEN QUESTIONS — must be resolved before going live</t>
  </si>
  <si>
    <t xml:space="preserve">Question</t>
  </si>
  <si>
    <t xml:space="preserve">Default if unanswered</t>
  </si>
  <si>
    <t xml:space="preserve">Your decision (EDIT)</t>
  </si>
  <si>
    <t xml:space="preserve">Asset universe? (US stocks, ASX, crypto?)</t>
  </si>
  <si>
    <t xml:space="preserve">US large/mid-cap, top 500 by liquidity</t>
  </si>
  <si>
    <t xml:space="preserve">Timeframe — daily only, or multi-timeframe confirmation?</t>
  </si>
  <si>
    <t xml:space="preserve">Daily only for v1</t>
  </si>
  <si>
    <t xml:space="preserve">Risk management: stop-loss method?</t>
  </si>
  <si>
    <t xml:space="preserve">1.5 × ATR(14) below entry for longs</t>
  </si>
  <si>
    <t xml:space="preserve">Position sizing method?</t>
  </si>
  <si>
    <t xml:space="preserve">2% account risk per trade</t>
  </si>
  <si>
    <t xml:space="preserve">Profit target / exit rule?</t>
  </si>
  <si>
    <t xml:space="preserve">Trail stop at 1.5 × ATR; exit on opposite signal</t>
  </si>
  <si>
    <t xml:space="preserve">Max concurrent positions?</t>
  </si>
  <si>
    <t xml:space="preserve">10</t>
  </si>
  <si>
    <t xml:space="preserve">Re-entry rules after stop-out?</t>
  </si>
  <si>
    <t xml:space="preserve">Cooldown of 5 bars</t>
  </si>
  <si>
    <t xml:space="preserve">Earnings / news blackout?</t>
  </si>
  <si>
    <t xml:space="preserve">Skip signals within 3 bars of earnings</t>
  </si>
  <si>
    <t xml:space="preserve">Algorithmic S/R identification method?</t>
  </si>
  <si>
    <t xml:space="preserve">P5-swing + 1% clustering</t>
  </si>
  <si>
    <t xml:space="preserve">Should weights/scores adapt to volatility regime?</t>
  </si>
  <si>
    <t xml:space="preserve">Static for v1; revisit after backtest</t>
  </si>
  <si>
    <t xml:space="preserve">How to handle conflicting components (e.g., RSI overbought but EMA full bull stack)?</t>
  </si>
  <si>
    <t xml:space="preserve">Use composite — score will average out</t>
  </si>
  <si>
    <t xml:space="preserve">Live data feed and broker integration?</t>
  </si>
  <si>
    <t xml:space="preserve">TBD — likely IBKR for execution; yfinance for v1 prototyping</t>
  </si>
  <si>
    <t xml:space="preserve">What's the success metric for the strategy?</t>
  </si>
  <si>
    <t xml:space="preserve">Sharpe &gt; 1.0 and max drawdown &lt; 20% over 5-yr backtest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</si>
</sst>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 t="s">
        <v>27</v>
      </c>
    </row>
    <row r="33" customFormat="false" ht="15" hidden="false" customHeight="false" outlineLevel="0" collapsed="false">
      <c r="A33" s="2" t="s">
        <v>28</v>
      </c>
    </row>
    <row r="34" customFormat="false" ht="15" hidden="false" customHeight="false" outlineLevel="0" collapsed="false">
      <c r="A34" s="2" t="s">
        <v>29</v>
      </c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3" t="s">
        <v>30</v>
      </c>
    </row>
    <row r="37" customFormat="false" ht="15" hidden="false" customHeight="false" outlineLevel="0" collapsed="false">
      <c r="A37" s="2" t="s">
        <v>31</v>
      </c>
    </row>
    <row r="38" customFormat="false" ht="15" hidden="false" customHeight="false" outlineLevel="0" collapsed="false">
      <c r="A38" s="2" t="s">
        <v>32</v>
      </c>
    </row>
    <row r="39" customFormat="false" ht="15" hidden="false" customHeight="false" outlineLevel="0" collapsed="false">
      <c r="A39" s="2" t="s">
        <v>33</v>
      </c>
    </row>
    <row r="40" customFormat="false" ht="15" hidden="false" customHeight="false" outlineLevel="0" collapsed="false">
      <c r="A40" s="2" t="s">
        <v>34</v>
      </c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3" t="s">
        <v>35</v>
      </c>
    </row>
    <row r="43" customFormat="false" ht="15" hidden="false" customHeight="false" outlineLevel="0" collapsed="false">
      <c r="A43" s="2" t="s">
        <v>36</v>
      </c>
    </row>
    <row r="44" customFormat="false" ht="15" hidden="false" customHeight="false" outlineLevel="0" collapsed="false">
      <c r="A44" s="2" t="s">
        <v>37</v>
      </c>
    </row>
    <row r="45" customFormat="false" ht="15" hidden="false" customHeight="false" outlineLevel="0" collapsed="false">
      <c r="A45" s="2" t="s">
        <v>38</v>
      </c>
    </row>
    <row r="46" customFormat="false" ht="15" hidden="false" customHeight="false" outlineLevel="0" collapsed="false">
      <c r="A46" s="2" t="s">
        <v>39</v>
      </c>
    </row>
    <row r="47" customFormat="false" ht="15" hidden="false" customHeight="false" outlineLevel="0" collapsed="false">
      <c r="A47" s="2" t="s">
        <v>40</v>
      </c>
    </row>
    <row r="48" customFormat="false" ht="15" hidden="false" customHeight="false" outlineLevel="0" collapsed="false">
      <c r="A48" s="2" t="s">
        <v>41</v>
      </c>
    </row>
    <row r="49" customFormat="false" ht="15" hidden="false" customHeight="false" outlineLevel="0" collapsed="false">
      <c r="A49" s="2" t="s">
        <v>42</v>
      </c>
    </row>
    <row r="50" customFormat="false" ht="15" hidden="false" customHeight="false" outlineLevel="0" collapsed="false">
      <c r="A50" s="2" t="s">
        <v>43</v>
      </c>
    </row>
    <row r="51" customFormat="false" ht="15" hidden="false" customHeight="false" outlineLevel="0" collapsed="false">
      <c r="A51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21.75" hidden="false" customHeight="true" outlineLevel="0" collapsed="false">
      <c r="A1" s="4" t="s">
        <v>45</v>
      </c>
      <c r="B1" s="4"/>
      <c r="C1" s="4"/>
      <c r="D1" s="4"/>
    </row>
    <row r="2" customFormat="false" ht="27.75" hidden="false" customHeight="true" outlineLevel="0" collapsed="false">
      <c r="A2" s="5" t="s">
        <v>46</v>
      </c>
      <c r="B2" s="5" t="s">
        <v>47</v>
      </c>
      <c r="C2" s="5" t="s">
        <v>48</v>
      </c>
      <c r="D2" s="5" t="s">
        <v>49</v>
      </c>
    </row>
    <row r="3" customFormat="false" ht="15" hidden="false" customHeight="false" outlineLevel="0" collapsed="false">
      <c r="A3" s="6" t="n">
        <v>1</v>
      </c>
      <c r="B3" s="7" t="s">
        <v>50</v>
      </c>
      <c r="C3" s="8" t="n">
        <v>12</v>
      </c>
      <c r="D3" s="7" t="s">
        <v>51</v>
      </c>
    </row>
    <row r="4" customFormat="false" ht="15" hidden="false" customHeight="false" outlineLevel="0" collapsed="false">
      <c r="A4" s="6" t="n">
        <v>2</v>
      </c>
      <c r="B4" s="7" t="s">
        <v>52</v>
      </c>
      <c r="C4" s="8" t="n">
        <v>8</v>
      </c>
      <c r="D4" s="7" t="s">
        <v>53</v>
      </c>
    </row>
    <row r="5" customFormat="false" ht="15" hidden="false" customHeight="false" outlineLevel="0" collapsed="false">
      <c r="A5" s="6" t="n">
        <v>3</v>
      </c>
      <c r="B5" s="7" t="s">
        <v>54</v>
      </c>
      <c r="C5" s="8" t="n">
        <v>12</v>
      </c>
      <c r="D5" s="7" t="s">
        <v>55</v>
      </c>
    </row>
    <row r="6" customFormat="false" ht="15" hidden="false" customHeight="false" outlineLevel="0" collapsed="false">
      <c r="A6" s="6" t="n">
        <v>4</v>
      </c>
      <c r="B6" s="7" t="s">
        <v>56</v>
      </c>
      <c r="C6" s="8" t="n">
        <v>10</v>
      </c>
      <c r="D6" s="7" t="s">
        <v>57</v>
      </c>
    </row>
    <row r="7" customFormat="false" ht="15" hidden="false" customHeight="false" outlineLevel="0" collapsed="false">
      <c r="A7" s="6" t="n">
        <v>5</v>
      </c>
      <c r="B7" s="7" t="s">
        <v>58</v>
      </c>
      <c r="C7" s="8" t="n">
        <v>15</v>
      </c>
      <c r="D7" s="7" t="s">
        <v>59</v>
      </c>
    </row>
    <row r="8" customFormat="false" ht="15" hidden="false" customHeight="false" outlineLevel="0" collapsed="false">
      <c r="A8" s="6" t="n">
        <v>6</v>
      </c>
      <c r="B8" s="7" t="s">
        <v>60</v>
      </c>
      <c r="C8" s="8" t="n">
        <v>15</v>
      </c>
      <c r="D8" s="7" t="s">
        <v>61</v>
      </c>
    </row>
    <row r="9" customFormat="false" ht="15" hidden="false" customHeight="false" outlineLevel="0" collapsed="false">
      <c r="A9" s="6" t="n">
        <v>7</v>
      </c>
      <c r="B9" s="6" t="s">
        <v>62</v>
      </c>
      <c r="C9" s="8" t="n">
        <v>18</v>
      </c>
      <c r="D9" s="7" t="s">
        <v>63</v>
      </c>
    </row>
    <row r="10" customFormat="false" ht="15" hidden="false" customHeight="false" outlineLevel="0" collapsed="false">
      <c r="A10" s="6" t="n">
        <v>8</v>
      </c>
      <c r="B10" s="6" t="s">
        <v>64</v>
      </c>
      <c r="C10" s="8" t="n">
        <v>10</v>
      </c>
      <c r="D10" s="7" t="s">
        <v>65</v>
      </c>
    </row>
    <row r="11" customFormat="false" ht="15" hidden="false" customHeight="false" outlineLevel="0" collapsed="false">
      <c r="A11" s="9"/>
      <c r="B11" s="9" t="s">
        <v>66</v>
      </c>
      <c r="C11" s="9" t="n">
        <f aca="false">SUM(C3:C10)</f>
        <v>100</v>
      </c>
      <c r="D11" s="10" t="s">
        <v>67</v>
      </c>
    </row>
    <row r="12" customFormat="false" ht="15" hidden="false" customHeight="false" outlineLevel="0" collapsed="false">
      <c r="B12" s="11" t="s">
        <v>68</v>
      </c>
      <c r="C12" s="12" t="str">
        <f aca="false">IF(C11=100,"OK","FIX: total must be 100")</f>
        <v>OK</v>
      </c>
    </row>
    <row r="15" customFormat="false" ht="21.75" hidden="false" customHeight="true" outlineLevel="0" collapsed="false">
      <c r="A15" s="4" t="s">
        <v>69</v>
      </c>
      <c r="B15" s="4"/>
      <c r="C15" s="4"/>
      <c r="D15" s="4"/>
    </row>
    <row r="16" customFormat="false" ht="27.75" hidden="false" customHeight="true" outlineLevel="0" collapsed="false">
      <c r="A16" s="5" t="s">
        <v>70</v>
      </c>
      <c r="B16" s="5" t="s">
        <v>71</v>
      </c>
      <c r="C16" s="5" t="s">
        <v>72</v>
      </c>
      <c r="D16" s="5" t="s">
        <v>49</v>
      </c>
    </row>
    <row r="17" customFormat="false" ht="35.05" hidden="false" customHeight="false" outlineLevel="0" collapsed="false">
      <c r="A17" s="7" t="s">
        <v>73</v>
      </c>
      <c r="B17" s="8" t="n">
        <v>85</v>
      </c>
      <c r="C17" s="8" t="n">
        <v>100</v>
      </c>
      <c r="D17" s="7" t="s">
        <v>74</v>
      </c>
    </row>
    <row r="18" customFormat="false" ht="15" hidden="false" customHeight="false" outlineLevel="0" collapsed="false">
      <c r="A18" s="6" t="s">
        <v>75</v>
      </c>
      <c r="B18" s="8" t="n">
        <v>70</v>
      </c>
      <c r="C18" s="8" t="n">
        <v>85</v>
      </c>
      <c r="D18" s="7" t="s">
        <v>76</v>
      </c>
    </row>
    <row r="19" customFormat="false" ht="15" hidden="false" customHeight="false" outlineLevel="0" collapsed="false">
      <c r="A19" s="6" t="s">
        <v>77</v>
      </c>
      <c r="B19" s="8" t="n">
        <v>-70</v>
      </c>
      <c r="C19" s="8" t="n">
        <v>70</v>
      </c>
      <c r="D19" s="7" t="s">
        <v>78</v>
      </c>
    </row>
    <row r="20" customFormat="false" ht="15" hidden="false" customHeight="false" outlineLevel="0" collapsed="false">
      <c r="A20" s="6" t="s">
        <v>79</v>
      </c>
      <c r="B20" s="8" t="n">
        <v>-85</v>
      </c>
      <c r="C20" s="8" t="n">
        <v>-70</v>
      </c>
      <c r="D20" s="7" t="s">
        <v>80</v>
      </c>
    </row>
    <row r="21" customFormat="false" ht="35.05" hidden="false" customHeight="false" outlineLevel="0" collapsed="false">
      <c r="A21" s="7" t="s">
        <v>81</v>
      </c>
      <c r="B21" s="8" t="n">
        <v>-100</v>
      </c>
      <c r="C21" s="8" t="n">
        <v>-85</v>
      </c>
      <c r="D21" s="7" t="s">
        <v>82</v>
      </c>
    </row>
  </sheetData>
  <mergeCells count="2">
    <mergeCell ref="A1:D1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21.75" hidden="false" customHeight="true" outlineLevel="0" collapsed="false">
      <c r="A1" s="4" t="s">
        <v>83</v>
      </c>
      <c r="B1" s="4"/>
      <c r="C1" s="4"/>
      <c r="D1" s="4"/>
    </row>
    <row r="2" customFormat="false" ht="45" hidden="false" customHeight="true" outlineLevel="0" collapsed="false">
      <c r="A2" s="13" t="s">
        <v>84</v>
      </c>
      <c r="B2" s="13"/>
      <c r="C2" s="13"/>
      <c r="D2" s="13"/>
    </row>
    <row r="4" customFormat="false" ht="27.75" hidden="false" customHeight="true" outlineLevel="0" collapsed="false">
      <c r="A4" s="5" t="s">
        <v>85</v>
      </c>
      <c r="B4" s="5" t="s">
        <v>86</v>
      </c>
      <c r="C4" s="5" t="s">
        <v>87</v>
      </c>
      <c r="D4" s="5" t="s">
        <v>49</v>
      </c>
    </row>
    <row r="5" customFormat="false" ht="15" hidden="false" customHeight="false" outlineLevel="0" collapsed="false">
      <c r="A5" s="7" t="s">
        <v>88</v>
      </c>
      <c r="B5" s="14" t="s">
        <v>89</v>
      </c>
      <c r="C5" s="15" t="s">
        <v>90</v>
      </c>
      <c r="D5" s="7" t="s">
        <v>91</v>
      </c>
    </row>
    <row r="6" customFormat="false" ht="15" hidden="false" customHeight="false" outlineLevel="0" collapsed="false">
      <c r="A6" s="7" t="s">
        <v>92</v>
      </c>
      <c r="B6" s="15" t="s">
        <v>90</v>
      </c>
      <c r="C6" s="14" t="s">
        <v>89</v>
      </c>
      <c r="D6" s="7" t="s">
        <v>93</v>
      </c>
    </row>
    <row r="7" customFormat="false" ht="23.85" hidden="false" customHeight="false" outlineLevel="0" collapsed="false">
      <c r="A7" s="7" t="s">
        <v>94</v>
      </c>
      <c r="B7" s="14" t="s">
        <v>89</v>
      </c>
      <c r="C7" s="14" t="s">
        <v>89</v>
      </c>
      <c r="D7" s="7" t="s">
        <v>95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21.75" hidden="false" customHeight="true" outlineLevel="0" collapsed="false">
      <c r="A1" s="4" t="s">
        <v>96</v>
      </c>
      <c r="B1" s="4"/>
      <c r="C1" s="4"/>
      <c r="D1" s="4"/>
    </row>
    <row r="2" customFormat="false" ht="27.75" hidden="false" customHeight="true" outlineLevel="0" collapsed="false">
      <c r="A2" s="5" t="s">
        <v>97</v>
      </c>
      <c r="B2" s="5" t="s">
        <v>98</v>
      </c>
      <c r="C2" s="5" t="s">
        <v>99</v>
      </c>
      <c r="D2" s="5" t="s">
        <v>49</v>
      </c>
    </row>
    <row r="3" customFormat="false" ht="15" hidden="false" customHeight="false" outlineLevel="0" collapsed="false">
      <c r="A3" s="16" t="s">
        <v>100</v>
      </c>
      <c r="B3" s="7" t="s">
        <v>101</v>
      </c>
      <c r="C3" s="8" t="n">
        <v>90</v>
      </c>
      <c r="D3" s="16" t="s">
        <v>102</v>
      </c>
    </row>
    <row r="4" customFormat="false" ht="15" hidden="false" customHeight="false" outlineLevel="0" collapsed="false">
      <c r="A4" s="16" t="s">
        <v>103</v>
      </c>
      <c r="B4" s="7" t="s">
        <v>104</v>
      </c>
      <c r="C4" s="8" t="n">
        <v>80</v>
      </c>
      <c r="D4" s="16" t="s">
        <v>105</v>
      </c>
    </row>
    <row r="5" customFormat="false" ht="15" hidden="false" customHeight="false" outlineLevel="0" collapsed="false">
      <c r="A5" s="16" t="s">
        <v>106</v>
      </c>
      <c r="B5" s="7" t="s">
        <v>107</v>
      </c>
      <c r="C5" s="8" t="n">
        <v>55</v>
      </c>
      <c r="D5" s="16" t="s">
        <v>108</v>
      </c>
    </row>
    <row r="6" customFormat="false" ht="15" hidden="false" customHeight="false" outlineLevel="0" collapsed="false">
      <c r="A6" s="16" t="s">
        <v>109</v>
      </c>
      <c r="B6" s="7" t="s">
        <v>110</v>
      </c>
      <c r="C6" s="8" t="n">
        <v>25</v>
      </c>
      <c r="D6" s="16" t="s">
        <v>111</v>
      </c>
    </row>
    <row r="7" customFormat="false" ht="15" hidden="false" customHeight="false" outlineLevel="0" collapsed="false">
      <c r="A7" s="16" t="s">
        <v>112</v>
      </c>
      <c r="B7" s="7" t="s">
        <v>113</v>
      </c>
      <c r="C7" s="8" t="n">
        <v>20</v>
      </c>
      <c r="D7" s="16" t="s">
        <v>114</v>
      </c>
    </row>
    <row r="8" customFormat="false" ht="15" hidden="false" customHeight="false" outlineLevel="0" collapsed="false">
      <c r="A8" s="17" t="s">
        <v>115</v>
      </c>
      <c r="B8" s="6" t="s">
        <v>116</v>
      </c>
      <c r="C8" s="8" t="n">
        <v>0</v>
      </c>
      <c r="D8" s="17" t="s">
        <v>117</v>
      </c>
    </row>
    <row r="9" customFormat="false" ht="15" hidden="false" customHeight="false" outlineLevel="0" collapsed="false">
      <c r="A9" s="18" t="s">
        <v>118</v>
      </c>
      <c r="B9" s="7" t="s">
        <v>119</v>
      </c>
      <c r="C9" s="8" t="n">
        <v>-20</v>
      </c>
      <c r="D9" s="18" t="s">
        <v>120</v>
      </c>
    </row>
    <row r="10" customFormat="false" ht="15" hidden="false" customHeight="false" outlineLevel="0" collapsed="false">
      <c r="A10" s="18" t="s">
        <v>121</v>
      </c>
      <c r="B10" s="7" t="s">
        <v>122</v>
      </c>
      <c r="C10" s="8" t="n">
        <v>-25</v>
      </c>
      <c r="D10" s="18" t="s">
        <v>123</v>
      </c>
    </row>
    <row r="11" customFormat="false" ht="15" hidden="false" customHeight="false" outlineLevel="0" collapsed="false">
      <c r="A11" s="18" t="s">
        <v>124</v>
      </c>
      <c r="B11" s="7" t="s">
        <v>125</v>
      </c>
      <c r="C11" s="8" t="n">
        <v>-55</v>
      </c>
      <c r="D11" s="18" t="s">
        <v>126</v>
      </c>
    </row>
    <row r="12" customFormat="false" ht="23.85" hidden="false" customHeight="false" outlineLevel="0" collapsed="false">
      <c r="A12" s="18" t="s">
        <v>127</v>
      </c>
      <c r="B12" s="7" t="s">
        <v>128</v>
      </c>
      <c r="C12" s="8" t="n">
        <v>-80</v>
      </c>
      <c r="D12" s="18" t="s">
        <v>129</v>
      </c>
    </row>
    <row r="13" customFormat="false" ht="15" hidden="false" customHeight="false" outlineLevel="0" collapsed="false">
      <c r="A13" s="18" t="s">
        <v>130</v>
      </c>
      <c r="B13" s="7" t="s">
        <v>131</v>
      </c>
      <c r="C13" s="8" t="n">
        <v>-90</v>
      </c>
      <c r="D13" s="18" t="s">
        <v>132</v>
      </c>
    </row>
    <row r="15" customFormat="false" ht="15" hidden="false" customHeight="false" outlineLevel="0" collapsed="false">
      <c r="A15" s="19" t="s">
        <v>133</v>
      </c>
      <c r="B15" s="19"/>
      <c r="C15" s="19"/>
      <c r="D15" s="19"/>
    </row>
    <row r="16" customFormat="false" ht="27.75" hidden="false" customHeight="true" outlineLevel="0" collapsed="false">
      <c r="A16" s="5" t="s">
        <v>134</v>
      </c>
      <c r="B16" s="5" t="s">
        <v>135</v>
      </c>
      <c r="C16" s="5" t="s">
        <v>136</v>
      </c>
      <c r="D16" s="5" t="s">
        <v>49</v>
      </c>
    </row>
    <row r="17" customFormat="false" ht="23.85" hidden="false" customHeight="false" outlineLevel="0" collapsed="false">
      <c r="A17" s="7" t="s">
        <v>137</v>
      </c>
      <c r="B17" s="8" t="n">
        <v>1.2</v>
      </c>
      <c r="C17" s="6" t="s">
        <v>138</v>
      </c>
      <c r="D17" s="7" t="s">
        <v>139</v>
      </c>
    </row>
  </sheetData>
  <mergeCells count="2">
    <mergeCell ref="A1:D1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55"/>
    <col collapsed="false" customWidth="true" hidden="false" outlineLevel="0" max="3" min="3" style="0" width="15"/>
    <col collapsed="false" customWidth="true" hidden="false" outlineLevel="0" max="4" min="4" style="0" width="40"/>
  </cols>
  <sheetData>
    <row r="1" customFormat="false" ht="21.75" hidden="false" customHeight="true" outlineLevel="0" collapsed="false">
      <c r="A1" s="4" t="s">
        <v>140</v>
      </c>
      <c r="B1" s="4"/>
      <c r="C1" s="4"/>
      <c r="D1" s="4"/>
    </row>
    <row r="2" customFormat="false" ht="27.75" hidden="false" customHeight="true" outlineLevel="0" collapsed="false">
      <c r="A2" s="5" t="s">
        <v>141</v>
      </c>
      <c r="B2" s="5" t="s">
        <v>98</v>
      </c>
      <c r="C2" s="5" t="s">
        <v>142</v>
      </c>
      <c r="D2" s="5" t="s">
        <v>49</v>
      </c>
    </row>
    <row r="3" customFormat="false" ht="23.85" hidden="false" customHeight="false" outlineLevel="0" collapsed="false">
      <c r="A3" s="16" t="s">
        <v>143</v>
      </c>
      <c r="B3" s="7" t="s">
        <v>144</v>
      </c>
      <c r="C3" s="8" t="n">
        <v>70</v>
      </c>
      <c r="D3" s="16" t="s">
        <v>145</v>
      </c>
    </row>
    <row r="4" customFormat="false" ht="23.85" hidden="false" customHeight="false" outlineLevel="0" collapsed="false">
      <c r="A4" s="16" t="s">
        <v>146</v>
      </c>
      <c r="B4" s="7" t="s">
        <v>147</v>
      </c>
      <c r="C4" s="8" t="n">
        <v>60</v>
      </c>
      <c r="D4" s="16" t="s">
        <v>148</v>
      </c>
    </row>
    <row r="5" customFormat="false" ht="15" hidden="false" customHeight="false" outlineLevel="0" collapsed="false">
      <c r="A5" s="16" t="s">
        <v>149</v>
      </c>
      <c r="B5" s="7" t="s">
        <v>150</v>
      </c>
      <c r="C5" s="8" t="n">
        <v>30</v>
      </c>
      <c r="D5" s="16" t="s">
        <v>151</v>
      </c>
    </row>
    <row r="6" customFormat="false" ht="15" hidden="false" customHeight="false" outlineLevel="0" collapsed="false">
      <c r="A6" s="17" t="s">
        <v>115</v>
      </c>
      <c r="B6" s="6" t="s">
        <v>116</v>
      </c>
      <c r="C6" s="8" t="n">
        <v>0</v>
      </c>
      <c r="D6" s="17" t="s">
        <v>152</v>
      </c>
    </row>
    <row r="7" customFormat="false" ht="15" hidden="false" customHeight="false" outlineLevel="0" collapsed="false">
      <c r="A7" s="18" t="s">
        <v>153</v>
      </c>
      <c r="B7" s="7" t="s">
        <v>154</v>
      </c>
      <c r="C7" s="8" t="n">
        <v>-30</v>
      </c>
      <c r="D7" s="18" t="s">
        <v>155</v>
      </c>
    </row>
    <row r="8" customFormat="false" ht="15" hidden="false" customHeight="false" outlineLevel="0" collapsed="false">
      <c r="A8" s="18" t="s">
        <v>156</v>
      </c>
      <c r="B8" s="7" t="s">
        <v>157</v>
      </c>
      <c r="C8" s="8" t="n">
        <v>-60</v>
      </c>
      <c r="D8" s="18" t="s">
        <v>158</v>
      </c>
    </row>
    <row r="9" customFormat="false" ht="23.85" hidden="false" customHeight="false" outlineLevel="0" collapsed="false">
      <c r="A9" s="18" t="s">
        <v>159</v>
      </c>
      <c r="B9" s="7" t="s">
        <v>160</v>
      </c>
      <c r="C9" s="8" t="n">
        <v>-70</v>
      </c>
      <c r="D9" s="18" t="s">
        <v>145</v>
      </c>
    </row>
    <row r="12" customFormat="false" ht="21.75" hidden="false" customHeight="true" outlineLevel="0" collapsed="false">
      <c r="A12" s="4" t="s">
        <v>161</v>
      </c>
      <c r="B12" s="4"/>
      <c r="C12" s="4"/>
      <c r="D12" s="4"/>
    </row>
    <row r="13" customFormat="false" ht="27.75" hidden="false" customHeight="true" outlineLevel="0" collapsed="false">
      <c r="A13" s="5" t="s">
        <v>162</v>
      </c>
      <c r="B13" s="5" t="s">
        <v>98</v>
      </c>
      <c r="C13" s="5" t="s">
        <v>142</v>
      </c>
      <c r="D13" s="5" t="s">
        <v>49</v>
      </c>
    </row>
    <row r="14" customFormat="false" ht="15" hidden="false" customHeight="false" outlineLevel="0" collapsed="false">
      <c r="A14" s="16" t="s">
        <v>163</v>
      </c>
      <c r="B14" s="7" t="s">
        <v>164</v>
      </c>
      <c r="C14" s="8" t="n">
        <v>85</v>
      </c>
      <c r="D14" s="16" t="s">
        <v>165</v>
      </c>
    </row>
    <row r="15" customFormat="false" ht="15" hidden="false" customHeight="false" outlineLevel="0" collapsed="false">
      <c r="A15" s="16" t="s">
        <v>166</v>
      </c>
      <c r="B15" s="7" t="s">
        <v>167</v>
      </c>
      <c r="C15" s="8" t="n">
        <v>50</v>
      </c>
      <c r="D15" s="16" t="s">
        <v>168</v>
      </c>
    </row>
    <row r="16" customFormat="false" ht="15" hidden="false" customHeight="false" outlineLevel="0" collapsed="false">
      <c r="A16" s="17" t="s">
        <v>169</v>
      </c>
      <c r="B16" s="7" t="s">
        <v>170</v>
      </c>
      <c r="C16" s="8" t="n">
        <v>0</v>
      </c>
      <c r="D16" s="17" t="s">
        <v>171</v>
      </c>
    </row>
    <row r="17" customFormat="false" ht="15" hidden="false" customHeight="false" outlineLevel="0" collapsed="false">
      <c r="A17" s="18" t="s">
        <v>172</v>
      </c>
      <c r="B17" s="7" t="s">
        <v>173</v>
      </c>
      <c r="C17" s="8" t="n">
        <v>-50</v>
      </c>
      <c r="D17" s="18" t="s">
        <v>174</v>
      </c>
    </row>
    <row r="18" customFormat="false" ht="15" hidden="false" customHeight="false" outlineLevel="0" collapsed="false">
      <c r="A18" s="18" t="s">
        <v>175</v>
      </c>
      <c r="B18" s="7" t="s">
        <v>176</v>
      </c>
      <c r="C18" s="8" t="n">
        <v>-85</v>
      </c>
      <c r="D18" s="18" t="s">
        <v>165</v>
      </c>
    </row>
  </sheetData>
  <mergeCells count="2">
    <mergeCell ref="A1:D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5"/>
    <col collapsed="false" customWidth="true" hidden="false" outlineLevel="0" max="4" min="4" style="0" width="35"/>
    <col collapsed="false" customWidth="true" hidden="false" outlineLevel="0" max="5" min="5" style="0" width="30"/>
  </cols>
  <sheetData>
    <row r="1" customFormat="false" ht="21.75" hidden="false" customHeight="true" outlineLevel="0" collapsed="false">
      <c r="A1" s="4" t="s">
        <v>177</v>
      </c>
      <c r="B1" s="4"/>
      <c r="C1" s="4"/>
      <c r="D1" s="4"/>
      <c r="E1" s="4"/>
    </row>
    <row r="2" customFormat="false" ht="60" hidden="false" customHeight="true" outlineLevel="0" collapsed="false">
      <c r="A2" s="13" t="s">
        <v>178</v>
      </c>
      <c r="B2" s="13"/>
      <c r="C2" s="13"/>
      <c r="D2" s="13"/>
      <c r="E2" s="13"/>
    </row>
    <row r="4" customFormat="false" ht="27.75" hidden="false" customHeight="true" outlineLevel="0" collapsed="false">
      <c r="A4" s="5" t="s">
        <v>179</v>
      </c>
      <c r="B4" s="5" t="s">
        <v>180</v>
      </c>
      <c r="C4" s="5" t="s">
        <v>181</v>
      </c>
      <c r="D4" s="5" t="s">
        <v>182</v>
      </c>
      <c r="E4" s="5" t="s">
        <v>49</v>
      </c>
    </row>
    <row r="5" customFormat="false" ht="15" hidden="false" customHeight="false" outlineLevel="0" collapsed="false">
      <c r="A5" s="7" t="s">
        <v>183</v>
      </c>
      <c r="B5" s="8" t="n">
        <v>100</v>
      </c>
      <c r="C5" s="8" t="n">
        <v>-100</v>
      </c>
      <c r="D5" s="7" t="s">
        <v>184</v>
      </c>
      <c r="E5" s="7" t="s">
        <v>185</v>
      </c>
    </row>
    <row r="6" customFormat="false" ht="15" hidden="false" customHeight="false" outlineLevel="0" collapsed="false">
      <c r="A6" s="7" t="s">
        <v>186</v>
      </c>
      <c r="B6" s="8" t="n">
        <v>80</v>
      </c>
      <c r="C6" s="8" t="n">
        <v>-80</v>
      </c>
      <c r="D6" s="7" t="s">
        <v>187</v>
      </c>
      <c r="E6" s="6"/>
    </row>
    <row r="7" customFormat="false" ht="15" hidden="false" customHeight="false" outlineLevel="0" collapsed="false">
      <c r="A7" s="7" t="s">
        <v>188</v>
      </c>
      <c r="B7" s="8" t="n">
        <v>60</v>
      </c>
      <c r="C7" s="8" t="n">
        <v>-60</v>
      </c>
      <c r="D7" s="7" t="s">
        <v>189</v>
      </c>
      <c r="E7" s="6"/>
    </row>
    <row r="8" customFormat="false" ht="15" hidden="false" customHeight="false" outlineLevel="0" collapsed="false">
      <c r="A8" s="7" t="s">
        <v>190</v>
      </c>
      <c r="B8" s="8" t="n">
        <v>40</v>
      </c>
      <c r="C8" s="8" t="n">
        <v>-40</v>
      </c>
      <c r="D8" s="7" t="s">
        <v>191</v>
      </c>
      <c r="E8" s="6"/>
    </row>
    <row r="9" customFormat="false" ht="15" hidden="false" customHeight="false" outlineLevel="0" collapsed="false">
      <c r="A9" s="7" t="s">
        <v>192</v>
      </c>
      <c r="B9" s="8" t="n">
        <v>20</v>
      </c>
      <c r="C9" s="8" t="n">
        <v>-20</v>
      </c>
      <c r="D9" s="7" t="s">
        <v>193</v>
      </c>
      <c r="E9" s="6"/>
    </row>
    <row r="10" customFormat="false" ht="15" hidden="false" customHeight="false" outlineLevel="0" collapsed="false">
      <c r="A10" s="7" t="s">
        <v>194</v>
      </c>
      <c r="B10" s="8" t="n">
        <v>0</v>
      </c>
      <c r="C10" s="8" t="n">
        <v>0</v>
      </c>
      <c r="D10" s="7" t="s">
        <v>195</v>
      </c>
      <c r="E10" s="6"/>
    </row>
    <row r="11" customFormat="false" ht="15" hidden="false" customHeight="false" outlineLevel="0" collapsed="false">
      <c r="A11" s="7" t="s">
        <v>196</v>
      </c>
      <c r="B11" s="8" t="n">
        <v>-15</v>
      </c>
      <c r="C11" s="8" t="n">
        <v>15</v>
      </c>
      <c r="D11" s="7" t="s">
        <v>197</v>
      </c>
      <c r="E11" s="7" t="s">
        <v>198</v>
      </c>
    </row>
    <row r="12" customFormat="false" ht="15" hidden="false" customHeight="false" outlineLevel="0" collapsed="false">
      <c r="A12" s="7" t="s">
        <v>199</v>
      </c>
      <c r="B12" s="8" t="n">
        <v>-30</v>
      </c>
      <c r="C12" s="8" t="n">
        <v>30</v>
      </c>
      <c r="D12" s="7" t="s">
        <v>200</v>
      </c>
      <c r="E12" s="6"/>
    </row>
    <row r="13" customFormat="false" ht="15" hidden="false" customHeight="false" outlineLevel="0" collapsed="false">
      <c r="A13" s="7" t="s">
        <v>201</v>
      </c>
      <c r="B13" s="8" t="n">
        <v>-40</v>
      </c>
      <c r="C13" s="8" t="n">
        <v>40</v>
      </c>
      <c r="D13" s="7" t="s">
        <v>202</v>
      </c>
      <c r="E13" s="6"/>
    </row>
    <row r="14" customFormat="false" ht="15" hidden="false" customHeight="false" outlineLevel="0" collapsed="false">
      <c r="A14" s="7" t="s">
        <v>203</v>
      </c>
      <c r="B14" s="8" t="n">
        <v>-50</v>
      </c>
      <c r="C14" s="8" t="n">
        <v>50</v>
      </c>
      <c r="D14" s="7" t="s">
        <v>204</v>
      </c>
      <c r="E14" s="7" t="s">
        <v>205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5"/>
    <col collapsed="false" customWidth="true" hidden="false" outlineLevel="0" max="3" min="3" style="0" width="55"/>
    <col collapsed="false" customWidth="true" hidden="false" outlineLevel="0" max="4" min="4" style="0" width="15"/>
  </cols>
  <sheetData>
    <row r="1" customFormat="false" ht="21.75" hidden="false" customHeight="true" outlineLevel="0" collapsed="false">
      <c r="A1" s="4" t="s">
        <v>206</v>
      </c>
      <c r="B1" s="4"/>
      <c r="C1" s="4"/>
      <c r="D1" s="4"/>
    </row>
    <row r="2" customFormat="false" ht="45" hidden="false" customHeight="true" outlineLevel="0" collapsed="false">
      <c r="A2" s="13" t="s">
        <v>207</v>
      </c>
      <c r="B2" s="13"/>
      <c r="C2" s="13"/>
      <c r="D2" s="13"/>
    </row>
    <row r="4" customFormat="false" ht="27.75" hidden="false" customHeight="true" outlineLevel="0" collapsed="false">
      <c r="A4" s="5" t="s">
        <v>208</v>
      </c>
      <c r="B4" s="5" t="s">
        <v>142</v>
      </c>
      <c r="C4" s="5"/>
      <c r="D4" s="5"/>
    </row>
    <row r="5" customFormat="false" ht="15" hidden="false" customHeight="false" outlineLevel="0" collapsed="false">
      <c r="A5" s="16" t="s">
        <v>209</v>
      </c>
      <c r="B5" s="8" t="n">
        <v>60</v>
      </c>
    </row>
    <row r="6" customFormat="false" ht="15" hidden="false" customHeight="false" outlineLevel="0" collapsed="false">
      <c r="A6" s="16" t="s">
        <v>210</v>
      </c>
      <c r="B6" s="8" t="n">
        <v>30</v>
      </c>
    </row>
    <row r="7" customFormat="false" ht="15" hidden="false" customHeight="false" outlineLevel="0" collapsed="false">
      <c r="A7" s="17" t="s">
        <v>211</v>
      </c>
      <c r="B7" s="8" t="n">
        <v>0</v>
      </c>
    </row>
    <row r="8" customFormat="false" ht="15" hidden="false" customHeight="false" outlineLevel="0" collapsed="false">
      <c r="A8" s="18" t="s">
        <v>212</v>
      </c>
      <c r="B8" s="8" t="n">
        <v>-30</v>
      </c>
    </row>
    <row r="9" customFormat="false" ht="15" hidden="false" customHeight="false" outlineLevel="0" collapsed="false">
      <c r="A9" s="18" t="s">
        <v>213</v>
      </c>
      <c r="B9" s="8" t="n">
        <v>-60</v>
      </c>
    </row>
    <row r="12" customFormat="false" ht="27.75" hidden="false" customHeight="true" outlineLevel="0" collapsed="false">
      <c r="A12" s="5" t="s">
        <v>214</v>
      </c>
      <c r="B12" s="5" t="s">
        <v>142</v>
      </c>
      <c r="C12" s="5"/>
      <c r="D12" s="5"/>
    </row>
    <row r="13" customFormat="false" ht="15" hidden="false" customHeight="false" outlineLevel="0" collapsed="false">
      <c r="A13" s="16" t="s">
        <v>215</v>
      </c>
      <c r="B13" s="8" t="n">
        <v>95</v>
      </c>
    </row>
    <row r="14" customFormat="false" ht="15" hidden="false" customHeight="false" outlineLevel="0" collapsed="false">
      <c r="A14" s="16" t="s">
        <v>216</v>
      </c>
      <c r="B14" s="8" t="n">
        <v>75</v>
      </c>
    </row>
    <row r="15" customFormat="false" ht="15" hidden="false" customHeight="false" outlineLevel="0" collapsed="false">
      <c r="A15" s="16" t="s">
        <v>217</v>
      </c>
      <c r="B15" s="8" t="n">
        <v>55</v>
      </c>
    </row>
    <row r="16" customFormat="false" ht="15" hidden="false" customHeight="false" outlineLevel="0" collapsed="false">
      <c r="A16" s="16" t="s">
        <v>218</v>
      </c>
      <c r="B16" s="8" t="n">
        <v>35</v>
      </c>
    </row>
    <row r="17" customFormat="false" ht="15" hidden="false" customHeight="false" outlineLevel="0" collapsed="false">
      <c r="A17" s="18" t="s">
        <v>219</v>
      </c>
      <c r="B17" s="8" t="n">
        <v>-35</v>
      </c>
    </row>
    <row r="18" customFormat="false" ht="15" hidden="false" customHeight="false" outlineLevel="0" collapsed="false">
      <c r="A18" s="18" t="s">
        <v>220</v>
      </c>
      <c r="B18" s="8" t="n">
        <v>-55</v>
      </c>
    </row>
    <row r="19" customFormat="false" ht="15" hidden="false" customHeight="false" outlineLevel="0" collapsed="false">
      <c r="A19" s="18" t="s">
        <v>221</v>
      </c>
      <c r="B19" s="8" t="n">
        <v>-75</v>
      </c>
    </row>
    <row r="20" customFormat="false" ht="15" hidden="false" customHeight="false" outlineLevel="0" collapsed="false">
      <c r="A20" s="18" t="s">
        <v>222</v>
      </c>
      <c r="B20" s="8" t="n">
        <v>-95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55"/>
    <col collapsed="false" customWidth="true" hidden="false" outlineLevel="0" max="3" min="3" style="0" width="15"/>
    <col collapsed="false" customWidth="true" hidden="false" outlineLevel="0" max="4" min="4" style="0" width="35"/>
  </cols>
  <sheetData>
    <row r="1" customFormat="false" ht="21.75" hidden="false" customHeight="true" outlineLevel="0" collapsed="false">
      <c r="A1" s="4" t="s">
        <v>223</v>
      </c>
      <c r="B1" s="4"/>
      <c r="C1" s="4"/>
      <c r="D1" s="4"/>
    </row>
    <row r="2" customFormat="false" ht="45" hidden="false" customHeight="true" outlineLevel="0" collapsed="false">
      <c r="A2" s="13" t="s">
        <v>224</v>
      </c>
      <c r="B2" s="13"/>
      <c r="C2" s="13"/>
      <c r="D2" s="13"/>
    </row>
    <row r="4" customFormat="false" ht="27.75" hidden="false" customHeight="true" outlineLevel="0" collapsed="false">
      <c r="A4" s="5" t="s">
        <v>225</v>
      </c>
      <c r="B4" s="5" t="s">
        <v>98</v>
      </c>
      <c r="C4" s="5" t="s">
        <v>142</v>
      </c>
      <c r="D4" s="5" t="s">
        <v>49</v>
      </c>
    </row>
    <row r="5" customFormat="false" ht="15" hidden="false" customHeight="false" outlineLevel="0" collapsed="false">
      <c r="A5" s="16" t="s">
        <v>226</v>
      </c>
      <c r="B5" s="7" t="s">
        <v>227</v>
      </c>
      <c r="C5" s="8" t="n">
        <v>80</v>
      </c>
      <c r="D5" s="16" t="s">
        <v>228</v>
      </c>
    </row>
    <row r="6" customFormat="false" ht="15" hidden="false" customHeight="false" outlineLevel="0" collapsed="false">
      <c r="A6" s="16" t="s">
        <v>229</v>
      </c>
      <c r="B6" s="7" t="s">
        <v>230</v>
      </c>
      <c r="C6" s="8" t="n">
        <v>85</v>
      </c>
      <c r="D6" s="16" t="s">
        <v>231</v>
      </c>
    </row>
    <row r="7" customFormat="false" ht="15" hidden="false" customHeight="false" outlineLevel="0" collapsed="false">
      <c r="A7" s="16" t="s">
        <v>232</v>
      </c>
      <c r="B7" s="7" t="s">
        <v>233</v>
      </c>
      <c r="C7" s="8" t="n">
        <v>20</v>
      </c>
      <c r="D7" s="16" t="s">
        <v>234</v>
      </c>
    </row>
    <row r="8" customFormat="false" ht="15" hidden="false" customHeight="false" outlineLevel="0" collapsed="false">
      <c r="A8" s="17" t="s">
        <v>235</v>
      </c>
      <c r="B8" s="7" t="s">
        <v>236</v>
      </c>
      <c r="C8" s="8" t="n">
        <v>0</v>
      </c>
      <c r="D8" s="17" t="s">
        <v>237</v>
      </c>
    </row>
    <row r="9" customFormat="false" ht="15" hidden="false" customHeight="false" outlineLevel="0" collapsed="false">
      <c r="A9" s="18" t="s">
        <v>238</v>
      </c>
      <c r="B9" s="7" t="s">
        <v>239</v>
      </c>
      <c r="C9" s="8" t="n">
        <v>-20</v>
      </c>
      <c r="D9" s="18" t="s">
        <v>234</v>
      </c>
    </row>
    <row r="10" customFormat="false" ht="15" hidden="false" customHeight="false" outlineLevel="0" collapsed="false">
      <c r="A10" s="18" t="s">
        <v>240</v>
      </c>
      <c r="B10" s="7" t="s">
        <v>241</v>
      </c>
      <c r="C10" s="8" t="n">
        <v>-80</v>
      </c>
      <c r="D10" s="18" t="s">
        <v>242</v>
      </c>
    </row>
    <row r="11" customFormat="false" ht="15" hidden="false" customHeight="false" outlineLevel="0" collapsed="false">
      <c r="A11" s="18" t="s">
        <v>243</v>
      </c>
      <c r="B11" s="7" t="s">
        <v>244</v>
      </c>
      <c r="C11" s="8" t="n">
        <v>-85</v>
      </c>
      <c r="D11" s="18" t="s">
        <v>245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21.75" hidden="false" customHeight="true" outlineLevel="0" collapsed="false">
      <c r="A1" s="4" t="s">
        <v>246</v>
      </c>
      <c r="B1" s="4"/>
      <c r="C1" s="4"/>
    </row>
    <row r="2" customFormat="false" ht="39.75" hidden="false" customHeight="true" outlineLevel="0" collapsed="false">
      <c r="A2" s="13" t="s">
        <v>247</v>
      </c>
      <c r="B2" s="13"/>
      <c r="C2" s="13"/>
    </row>
    <row r="4" customFormat="false" ht="27.75" hidden="false" customHeight="true" outlineLevel="0" collapsed="false">
      <c r="A4" s="5" t="s">
        <v>248</v>
      </c>
      <c r="B4" s="5" t="s">
        <v>249</v>
      </c>
      <c r="C4" s="5" t="s">
        <v>49</v>
      </c>
    </row>
    <row r="5" customFormat="false" ht="15" hidden="false" customHeight="false" outlineLevel="0" collapsed="false">
      <c r="A5" s="16" t="s">
        <v>250</v>
      </c>
      <c r="B5" s="8" t="n">
        <v>35</v>
      </c>
      <c r="C5" s="16" t="s">
        <v>251</v>
      </c>
    </row>
    <row r="6" customFormat="false" ht="15" hidden="false" customHeight="false" outlineLevel="0" collapsed="false">
      <c r="A6" s="16" t="s">
        <v>252</v>
      </c>
      <c r="B6" s="8" t="n">
        <v>15</v>
      </c>
      <c r="C6" s="16" t="s">
        <v>253</v>
      </c>
    </row>
    <row r="7" customFormat="false" ht="15" hidden="false" customHeight="false" outlineLevel="0" collapsed="false">
      <c r="A7" s="16" t="s">
        <v>254</v>
      </c>
      <c r="B7" s="8" t="n">
        <v>20</v>
      </c>
      <c r="C7" s="16" t="s">
        <v>255</v>
      </c>
    </row>
    <row r="8" customFormat="false" ht="15" hidden="false" customHeight="false" outlineLevel="0" collapsed="false">
      <c r="A8" s="16" t="s">
        <v>256</v>
      </c>
      <c r="B8" s="8" t="n">
        <v>5</v>
      </c>
      <c r="C8" s="16" t="s">
        <v>257</v>
      </c>
    </row>
    <row r="9" customFormat="false" ht="15" hidden="false" customHeight="false" outlineLevel="0" collapsed="false">
      <c r="A9" s="16" t="s">
        <v>258</v>
      </c>
      <c r="B9" s="8" t="n">
        <v>30</v>
      </c>
      <c r="C9" s="16" t="s">
        <v>259</v>
      </c>
    </row>
    <row r="10" customFormat="false" ht="15" hidden="false" customHeight="false" outlineLevel="0" collapsed="false">
      <c r="A10" s="18" t="s">
        <v>260</v>
      </c>
      <c r="B10" s="8" t="n">
        <v>-30</v>
      </c>
      <c r="C10" s="18" t="s">
        <v>261</v>
      </c>
    </row>
    <row r="11" customFormat="false" ht="15" hidden="false" customHeight="false" outlineLevel="0" collapsed="false">
      <c r="A11" s="18" t="s">
        <v>262</v>
      </c>
      <c r="B11" s="8" t="n">
        <v>-5</v>
      </c>
      <c r="C11" s="18" t="s">
        <v>263</v>
      </c>
    </row>
    <row r="12" customFormat="false" ht="15" hidden="false" customHeight="false" outlineLevel="0" collapsed="false">
      <c r="A12" s="18" t="s">
        <v>264</v>
      </c>
      <c r="B12" s="8" t="n">
        <v>-20</v>
      </c>
      <c r="C12" s="18" t="s">
        <v>265</v>
      </c>
    </row>
    <row r="13" customFormat="false" ht="15" hidden="false" customHeight="false" outlineLevel="0" collapsed="false">
      <c r="A13" s="18" t="s">
        <v>266</v>
      </c>
      <c r="B13" s="8" t="n">
        <v>-15</v>
      </c>
      <c r="C13" s="18" t="s">
        <v>267</v>
      </c>
    </row>
    <row r="14" customFormat="false" ht="15" hidden="false" customHeight="false" outlineLevel="0" collapsed="false">
      <c r="A14" s="18" t="s">
        <v>268</v>
      </c>
      <c r="B14" s="8" t="n">
        <v>-35</v>
      </c>
      <c r="C14" s="18" t="s">
        <v>269</v>
      </c>
    </row>
    <row r="16" customFormat="false" ht="15" hidden="false" customHeight="false" outlineLevel="0" collapsed="false">
      <c r="A16" s="19" t="s">
        <v>270</v>
      </c>
      <c r="B16" s="19"/>
      <c r="C16" s="19"/>
    </row>
  </sheetData>
  <mergeCells count="3">
    <mergeCell ref="A1:C1"/>
    <mergeCell ref="A2:C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5"/>
    <col collapsed="false" customWidth="true" hidden="false" outlineLevel="0" max="3" min="3" style="0" width="40"/>
  </cols>
  <sheetData>
    <row r="1" customFormat="false" ht="21.75" hidden="false" customHeight="true" outlineLevel="0" collapsed="false">
      <c r="A1" s="4" t="s">
        <v>271</v>
      </c>
      <c r="B1" s="4"/>
      <c r="C1" s="4"/>
    </row>
    <row r="2" customFormat="false" ht="30" hidden="false" customHeight="true" outlineLevel="0" collapsed="false">
      <c r="A2" s="13" t="s">
        <v>272</v>
      </c>
      <c r="B2" s="13"/>
      <c r="C2" s="13"/>
    </row>
    <row r="4" customFormat="false" ht="27.75" hidden="false" customHeight="true" outlineLevel="0" collapsed="false">
      <c r="A4" s="5" t="s">
        <v>134</v>
      </c>
      <c r="B4" s="5" t="s">
        <v>142</v>
      </c>
      <c r="C4" s="5" t="s">
        <v>49</v>
      </c>
    </row>
    <row r="5" customFormat="false" ht="15" hidden="false" customHeight="false" outlineLevel="0" collapsed="false">
      <c r="A5" s="16" t="s">
        <v>273</v>
      </c>
      <c r="B5" s="8" t="n">
        <v>70</v>
      </c>
      <c r="C5" s="16" t="s">
        <v>274</v>
      </c>
    </row>
    <row r="6" customFormat="false" ht="15" hidden="false" customHeight="false" outlineLevel="0" collapsed="false">
      <c r="A6" s="16" t="s">
        <v>275</v>
      </c>
      <c r="B6" s="8" t="n">
        <v>40</v>
      </c>
      <c r="C6" s="16" t="s">
        <v>276</v>
      </c>
    </row>
    <row r="7" customFormat="false" ht="15" hidden="false" customHeight="false" outlineLevel="0" collapsed="false">
      <c r="A7" s="16" t="s">
        <v>277</v>
      </c>
      <c r="B7" s="8" t="n">
        <v>25</v>
      </c>
      <c r="C7" s="16" t="s">
        <v>278</v>
      </c>
    </row>
    <row r="8" customFormat="false" ht="15" hidden="false" customHeight="false" outlineLevel="0" collapsed="false">
      <c r="A8" s="16" t="s">
        <v>279</v>
      </c>
      <c r="B8" s="8" t="n">
        <v>25</v>
      </c>
      <c r="C8" s="16" t="s">
        <v>280</v>
      </c>
    </row>
    <row r="9" customFormat="false" ht="15" hidden="false" customHeight="false" outlineLevel="0" collapsed="false">
      <c r="A9" s="16" t="s">
        <v>281</v>
      </c>
      <c r="B9" s="8" t="n">
        <v>10</v>
      </c>
      <c r="C9" s="16" t="s">
        <v>282</v>
      </c>
    </row>
    <row r="10" customFormat="false" ht="15" hidden="false" customHeight="false" outlineLevel="0" collapsed="false">
      <c r="A10" s="18" t="s">
        <v>283</v>
      </c>
      <c r="B10" s="8" t="n">
        <v>-10</v>
      </c>
      <c r="C10" s="18" t="s">
        <v>284</v>
      </c>
    </row>
    <row r="11" customFormat="false" ht="15" hidden="false" customHeight="false" outlineLevel="0" collapsed="false">
      <c r="A11" s="18" t="s">
        <v>285</v>
      </c>
      <c r="B11" s="8" t="n">
        <v>-15</v>
      </c>
      <c r="C11" s="18" t="s">
        <v>286</v>
      </c>
    </row>
    <row r="12" customFormat="false" ht="15" hidden="false" customHeight="false" outlineLevel="0" collapsed="false">
      <c r="A12" s="18" t="s">
        <v>287</v>
      </c>
      <c r="B12" s="8" t="n">
        <v>-15</v>
      </c>
      <c r="C12" s="18" t="s">
        <v>288</v>
      </c>
    </row>
    <row r="13" customFormat="false" ht="15" hidden="false" customHeight="false" outlineLevel="0" collapsed="false">
      <c r="A13" s="18" t="s">
        <v>289</v>
      </c>
      <c r="B13" s="8" t="n">
        <v>-40</v>
      </c>
      <c r="C13" s="18" t="s">
        <v>290</v>
      </c>
    </row>
    <row r="14" customFormat="false" ht="15" hidden="false" customHeight="false" outlineLevel="0" collapsed="false">
      <c r="A14" s="18" t="s">
        <v>291</v>
      </c>
      <c r="B14" s="8" t="n">
        <v>-70</v>
      </c>
      <c r="C14" s="18" t="s">
        <v>292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4" min="3" style="0" width="22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4" t="s">
        <v>293</v>
      </c>
      <c r="B1" s="4"/>
      <c r="C1" s="4"/>
      <c r="D1" s="4"/>
      <c r="E1" s="4"/>
    </row>
    <row r="2" customFormat="false" ht="30" hidden="false" customHeight="true" outlineLevel="0" collapsed="false">
      <c r="A2" s="13" t="s">
        <v>294</v>
      </c>
      <c r="B2" s="13"/>
      <c r="C2" s="13"/>
      <c r="D2" s="13"/>
      <c r="E2" s="13"/>
    </row>
    <row r="4" customFormat="false" ht="27.75" hidden="false" customHeight="true" outlineLevel="0" collapsed="false">
      <c r="A4" s="5" t="s">
        <v>47</v>
      </c>
      <c r="B4" s="5" t="s">
        <v>48</v>
      </c>
      <c r="C4" s="5" t="s">
        <v>99</v>
      </c>
      <c r="D4" s="5" t="s">
        <v>295</v>
      </c>
      <c r="E4" s="5" t="s">
        <v>49</v>
      </c>
    </row>
    <row r="5" customFormat="false" ht="15" hidden="false" customHeight="false" outlineLevel="0" collapsed="false">
      <c r="A5" s="7" t="s">
        <v>50</v>
      </c>
      <c r="B5" s="20" t="n">
        <f aca="false">Strategy_Config!C3</f>
        <v>12</v>
      </c>
      <c r="C5" s="8" t="n">
        <v>85</v>
      </c>
      <c r="D5" s="21" t="n">
        <f aca="false">B5*C5/100</f>
        <v>10.2</v>
      </c>
      <c r="E5" s="7" t="s">
        <v>296</v>
      </c>
    </row>
    <row r="6" customFormat="false" ht="15" hidden="false" customHeight="false" outlineLevel="0" collapsed="false">
      <c r="A6" s="7" t="s">
        <v>52</v>
      </c>
      <c r="B6" s="20" t="n">
        <f aca="false">Strategy_Config!C4</f>
        <v>8</v>
      </c>
      <c r="C6" s="8" t="n">
        <v>70</v>
      </c>
      <c r="D6" s="21" t="n">
        <f aca="false">B6*C6/100</f>
        <v>5.6</v>
      </c>
      <c r="E6" s="7" t="s">
        <v>143</v>
      </c>
    </row>
    <row r="7" customFormat="false" ht="15" hidden="false" customHeight="false" outlineLevel="0" collapsed="false">
      <c r="A7" s="7" t="s">
        <v>54</v>
      </c>
      <c r="B7" s="20" t="n">
        <f aca="false">Strategy_Config!C5</f>
        <v>12</v>
      </c>
      <c r="C7" s="8" t="n">
        <v>85</v>
      </c>
      <c r="D7" s="21" t="n">
        <f aca="false">B7*C7/100</f>
        <v>10.2</v>
      </c>
      <c r="E7" s="7" t="s">
        <v>163</v>
      </c>
    </row>
    <row r="8" customFormat="false" ht="15" hidden="false" customHeight="false" outlineLevel="0" collapsed="false">
      <c r="A8" s="7" t="s">
        <v>56</v>
      </c>
      <c r="B8" s="20" t="n">
        <f aca="false">Strategy_Config!C6</f>
        <v>10</v>
      </c>
      <c r="C8" s="8" t="n">
        <v>60</v>
      </c>
      <c r="D8" s="21" t="n">
        <f aca="false">B8*C8/100</f>
        <v>6</v>
      </c>
      <c r="E8" s="7" t="s">
        <v>297</v>
      </c>
    </row>
    <row r="9" customFormat="false" ht="15" hidden="false" customHeight="false" outlineLevel="0" collapsed="false">
      <c r="A9" s="7" t="s">
        <v>58</v>
      </c>
      <c r="B9" s="20" t="n">
        <f aca="false">Strategy_Config!C7</f>
        <v>15</v>
      </c>
      <c r="C9" s="8" t="n">
        <v>35</v>
      </c>
      <c r="D9" s="21" t="n">
        <f aca="false">B9*C9/100</f>
        <v>5.25</v>
      </c>
      <c r="E9" s="7" t="s">
        <v>298</v>
      </c>
    </row>
    <row r="10" customFormat="false" ht="15" hidden="false" customHeight="false" outlineLevel="0" collapsed="false">
      <c r="A10" s="7" t="s">
        <v>60</v>
      </c>
      <c r="B10" s="20" t="n">
        <f aca="false">Strategy_Config!C8</f>
        <v>15</v>
      </c>
      <c r="C10" s="8" t="n">
        <v>80</v>
      </c>
      <c r="D10" s="21" t="n">
        <f aca="false">B10*C10/100</f>
        <v>12</v>
      </c>
      <c r="E10" s="7" t="s">
        <v>299</v>
      </c>
    </row>
    <row r="11" customFormat="false" ht="15" hidden="false" customHeight="false" outlineLevel="0" collapsed="false">
      <c r="A11" s="7" t="s">
        <v>62</v>
      </c>
      <c r="B11" s="20" t="n">
        <f aca="false">Strategy_Config!C9</f>
        <v>18</v>
      </c>
      <c r="C11" s="8" t="n">
        <v>55</v>
      </c>
      <c r="D11" s="21" t="n">
        <f aca="false">B11*C11/100</f>
        <v>9.9</v>
      </c>
      <c r="E11" s="7" t="s">
        <v>300</v>
      </c>
    </row>
    <row r="12" customFormat="false" ht="15" hidden="false" customHeight="false" outlineLevel="0" collapsed="false">
      <c r="A12" s="7" t="s">
        <v>64</v>
      </c>
      <c r="B12" s="20" t="n">
        <f aca="false">Strategy_Config!C10</f>
        <v>10</v>
      </c>
      <c r="C12" s="8" t="n">
        <v>40</v>
      </c>
      <c r="D12" s="21" t="n">
        <f aca="false">B12*C12/100</f>
        <v>4</v>
      </c>
      <c r="E12" s="7" t="s">
        <v>301</v>
      </c>
    </row>
    <row r="13" customFormat="false" ht="15" hidden="false" customHeight="false" outlineLevel="0" collapsed="false">
      <c r="A13" s="22" t="s">
        <v>302</v>
      </c>
      <c r="B13" s="9" t="n">
        <f aca="false">SUM(B5:B12)</f>
        <v>100</v>
      </c>
      <c r="C13" s="23" t="s">
        <v>303</v>
      </c>
      <c r="D13" s="24" t="n">
        <f aca="false">SUM(D5:D12)</f>
        <v>63.15</v>
      </c>
    </row>
    <row r="14" customFormat="false" ht="15" hidden="false" customHeight="false" outlineLevel="0" collapsed="false">
      <c r="A14" s="22" t="s">
        <v>304</v>
      </c>
      <c r="D14" s="9" t="str">
        <f aca="false">IF(D13&gt;85,"STRONG BUY",IF(D13&gt;=70,"BUY",IF(D13&lt;=-85,"STRONG SELL",IF(D13&lt;=-70,"SELL","HOLD"))))</f>
        <v>HOLD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45"/>
    <col collapsed="false" customWidth="true" hidden="false" outlineLevel="0" max="4" min="4" style="0" width="35"/>
  </cols>
  <sheetData>
    <row r="1" customFormat="false" ht="21.75" hidden="false" customHeight="true" outlineLevel="0" collapsed="false">
      <c r="A1" s="4" t="s">
        <v>305</v>
      </c>
      <c r="B1" s="4"/>
      <c r="C1" s="4"/>
      <c r="D1" s="4"/>
    </row>
    <row r="2" customFormat="false" ht="27.75" hidden="false" customHeight="true" outlineLevel="0" collapsed="false">
      <c r="A2" s="5" t="s">
        <v>46</v>
      </c>
      <c r="B2" s="5" t="s">
        <v>306</v>
      </c>
      <c r="C2" s="5" t="s">
        <v>307</v>
      </c>
      <c r="D2" s="5" t="s">
        <v>308</v>
      </c>
    </row>
    <row r="3" customFormat="false" ht="15" hidden="false" customHeight="false" outlineLevel="0" collapsed="false">
      <c r="A3" s="6" t="n">
        <v>1</v>
      </c>
      <c r="B3" s="7" t="s">
        <v>309</v>
      </c>
      <c r="C3" s="7" t="s">
        <v>310</v>
      </c>
      <c r="D3" s="8"/>
    </row>
    <row r="4" customFormat="false" ht="15" hidden="false" customHeight="false" outlineLevel="0" collapsed="false">
      <c r="A4" s="6" t="n">
        <v>2</v>
      </c>
      <c r="B4" s="7" t="s">
        <v>311</v>
      </c>
      <c r="C4" s="7" t="s">
        <v>312</v>
      </c>
      <c r="D4" s="8"/>
    </row>
    <row r="5" customFormat="false" ht="15" hidden="false" customHeight="false" outlineLevel="0" collapsed="false">
      <c r="A5" s="6" t="n">
        <v>3</v>
      </c>
      <c r="B5" s="7" t="s">
        <v>313</v>
      </c>
      <c r="C5" s="7" t="s">
        <v>314</v>
      </c>
      <c r="D5" s="8"/>
    </row>
    <row r="6" customFormat="false" ht="15" hidden="false" customHeight="false" outlineLevel="0" collapsed="false">
      <c r="A6" s="6" t="n">
        <v>4</v>
      </c>
      <c r="B6" s="7" t="s">
        <v>315</v>
      </c>
      <c r="C6" s="7" t="s">
        <v>316</v>
      </c>
      <c r="D6" s="8"/>
    </row>
    <row r="7" customFormat="false" ht="15" hidden="false" customHeight="false" outlineLevel="0" collapsed="false">
      <c r="A7" s="6" t="n">
        <v>5</v>
      </c>
      <c r="B7" s="7" t="s">
        <v>317</v>
      </c>
      <c r="C7" s="7" t="s">
        <v>318</v>
      </c>
      <c r="D7" s="8"/>
    </row>
    <row r="8" customFormat="false" ht="15" hidden="false" customHeight="false" outlineLevel="0" collapsed="false">
      <c r="A8" s="6" t="n">
        <v>6</v>
      </c>
      <c r="B8" s="7" t="s">
        <v>319</v>
      </c>
      <c r="C8" s="6" t="s">
        <v>320</v>
      </c>
      <c r="D8" s="8"/>
    </row>
    <row r="9" customFormat="false" ht="15" hidden="false" customHeight="false" outlineLevel="0" collapsed="false">
      <c r="A9" s="6" t="n">
        <v>7</v>
      </c>
      <c r="B9" s="7" t="s">
        <v>321</v>
      </c>
      <c r="C9" s="7" t="s">
        <v>322</v>
      </c>
      <c r="D9" s="8"/>
    </row>
    <row r="10" customFormat="false" ht="15" hidden="false" customHeight="false" outlineLevel="0" collapsed="false">
      <c r="A10" s="6" t="n">
        <v>8</v>
      </c>
      <c r="B10" s="7" t="s">
        <v>323</v>
      </c>
      <c r="C10" s="7" t="s">
        <v>324</v>
      </c>
      <c r="D10" s="8"/>
    </row>
    <row r="11" customFormat="false" ht="15" hidden="false" customHeight="false" outlineLevel="0" collapsed="false">
      <c r="A11" s="6" t="n">
        <v>9</v>
      </c>
      <c r="B11" s="7" t="s">
        <v>325</v>
      </c>
      <c r="C11" s="7" t="s">
        <v>326</v>
      </c>
      <c r="D11" s="8"/>
    </row>
    <row r="12" customFormat="false" ht="15" hidden="false" customHeight="false" outlineLevel="0" collapsed="false">
      <c r="A12" s="6" t="n">
        <v>10</v>
      </c>
      <c r="B12" s="7" t="s">
        <v>327</v>
      </c>
      <c r="C12" s="7" t="s">
        <v>328</v>
      </c>
      <c r="D12" s="8"/>
    </row>
    <row r="13" customFormat="false" ht="23.85" hidden="false" customHeight="false" outlineLevel="0" collapsed="false">
      <c r="A13" s="6" t="n">
        <v>11</v>
      </c>
      <c r="B13" s="7" t="s">
        <v>329</v>
      </c>
      <c r="C13" s="7" t="s">
        <v>330</v>
      </c>
      <c r="D13" s="8"/>
    </row>
    <row r="14" customFormat="false" ht="23.85" hidden="false" customHeight="false" outlineLevel="0" collapsed="false">
      <c r="A14" s="6" t="n">
        <v>12</v>
      </c>
      <c r="B14" s="7" t="s">
        <v>331</v>
      </c>
      <c r="C14" s="7" t="s">
        <v>332</v>
      </c>
      <c r="D14" s="8"/>
    </row>
    <row r="15" customFormat="false" ht="23.85" hidden="false" customHeight="false" outlineLevel="0" collapsed="false">
      <c r="A15" s="6" t="n">
        <v>13</v>
      </c>
      <c r="B15" s="7" t="s">
        <v>333</v>
      </c>
      <c r="C15" s="7" t="s">
        <v>334</v>
      </c>
      <c r="D15" s="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2026-05-21T05:52:55Z</dcterms:created>
  <dc:creator>openpyxl</dc:creator>
  <dc:description/>
  <dc:language>en-US</dc:language>
  <cp:lastModifiedBy/>
  <dcterms:modified xsi:type="dcterms:W3CDTF">2026-05-21T05:52:55Z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